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ainc-my.sharepoint.com/personal/stej7224_bba_ca/Documents/"/>
    </mc:Choice>
  </mc:AlternateContent>
  <xr:revisionPtr revIDLastSave="0" documentId="8_{57700CE9-AF19-4991-B1F0-9D2B40AB37E1}" xr6:coauthVersionLast="47" xr6:coauthVersionMax="47" xr10:uidLastSave="{00000000-0000-0000-0000-000000000000}"/>
  <bookViews>
    <workbookView xWindow="31140" yWindow="2340" windowWidth="21600" windowHeight="11295" xr2:uid="{D20B9CCE-EFCF-46C7-9712-8825FB81A5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6" i="1"/>
  <c r="C15" i="1"/>
  <c r="C14" i="1"/>
  <c r="C13" i="1"/>
  <c r="C8" i="1"/>
</calcChain>
</file>

<file path=xl/sharedStrings.xml><?xml version="1.0" encoding="utf-8"?>
<sst xmlns="http://schemas.openxmlformats.org/spreadsheetml/2006/main" count="36" uniqueCount="23">
  <si>
    <t>Title:</t>
  </si>
  <si>
    <t>Preliminary Tank Sizing Tool</t>
  </si>
  <si>
    <t>Total Volumetric Flowrate In:</t>
  </si>
  <si>
    <t>units</t>
  </si>
  <si>
    <t>m3/h</t>
  </si>
  <si>
    <t>Residence Time Required</t>
  </si>
  <si>
    <t>h</t>
  </si>
  <si>
    <t>Volume Calculation</t>
  </si>
  <si>
    <t>Tank Dimensions</t>
  </si>
  <si>
    <t>Height to Diameters Ratio</t>
  </si>
  <si>
    <t>Height</t>
  </si>
  <si>
    <t>Diameter</t>
  </si>
  <si>
    <t>m</t>
  </si>
  <si>
    <t>m/m</t>
  </si>
  <si>
    <t>type</t>
  </si>
  <si>
    <t>input</t>
  </si>
  <si>
    <t>calculation</t>
  </si>
  <si>
    <t>Freeboard Required</t>
  </si>
  <si>
    <t>Final Height</t>
  </si>
  <si>
    <t>Final Diameter</t>
  </si>
  <si>
    <t>Final Volume</t>
  </si>
  <si>
    <t>m3</t>
  </si>
  <si>
    <t>Working Volume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</si>
</sst>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ACD56-FE20-4C79-9D2E-5F259FE67733}">
  <dimension ref="B2:E17"/>
  <sheetViews>
    <sheetView tabSelected="1" workbookViewId="0">
      <selection activeCell="B2" sqref="B2"/>
    </sheetView>
  </sheetViews>
  <sheetFormatPr defaultRowHeight="15" x14ac:dyDescent="0.25"/>
  <cols>
    <col min="2" max="2" width="26.7109375" bestFit="1" customWidth="1"/>
    <col min="5" max="5" width="13.7109375" customWidth="1"/>
  </cols>
  <sheetData>
    <row r="2" spans="2:5" x14ac:dyDescent="0.25">
      <c r="B2" t="s">
        <v>0</v>
      </c>
      <c r="C2" s="1" t="s">
        <v>1</v>
      </c>
    </row>
    <row r="4" spans="2:5" x14ac:dyDescent="0.25">
      <c r="B4" s="1" t="s">
        <v>7</v>
      </c>
    </row>
    <row r="5" spans="2:5" x14ac:dyDescent="0.25">
      <c r="D5" s="1" t="s">
        <v>3</v>
      </c>
      <c r="E5" t="s">
        <v>14</v>
      </c>
    </row>
    <row r="6" spans="2:5" x14ac:dyDescent="0.25">
      <c r="B6" t="s">
        <v>2</v>
      </c>
      <c r="C6">
        <v>250</v>
      </c>
      <c r="D6" t="s">
        <v>4</v>
      </c>
      <c r="E6" t="s">
        <v>15</v>
      </c>
    </row>
    <row r="7" spans="2:5" x14ac:dyDescent="0.25">
      <c r="B7" t="s">
        <v>5</v>
      </c>
      <c r="C7">
        <v>0.5</v>
      </c>
      <c r="D7" t="s">
        <v>6</v>
      </c>
      <c r="E7" t="s">
        <v>15</v>
      </c>
    </row>
    <row r="8" spans="2:5" x14ac:dyDescent="0.25">
      <c r="B8" t="s">
        <v>22</v>
      </c>
      <c r="C8">
        <f>+C6*C7</f>
        <v>125</v>
      </c>
      <c r="D8" t="s">
        <v>21</v>
      </c>
      <c r="E8" t="s">
        <v>16</v>
      </c>
    </row>
    <row r="10" spans="2:5" x14ac:dyDescent="0.25">
      <c r="B10" s="1" t="s">
        <v>8</v>
      </c>
    </row>
    <row r="11" spans="2:5" x14ac:dyDescent="0.25">
      <c r="B11" t="s">
        <v>9</v>
      </c>
      <c r="C11">
        <v>1.2</v>
      </c>
      <c r="D11" t="s">
        <v>13</v>
      </c>
      <c r="E11" t="s">
        <v>15</v>
      </c>
    </row>
    <row r="12" spans="2:5" x14ac:dyDescent="0.25">
      <c r="B12" t="s">
        <v>17</v>
      </c>
      <c r="C12">
        <v>0.5</v>
      </c>
      <c r="D12" t="s">
        <v>12</v>
      </c>
      <c r="E12" t="s">
        <v>15</v>
      </c>
    </row>
    <row r="13" spans="2:5" x14ac:dyDescent="0.25">
      <c r="B13" t="s">
        <v>11</v>
      </c>
      <c r="C13" s="2">
        <f>+((C8*4)/(3.1415*C11))^(1/3)</f>
        <v>5.0997697054798268</v>
      </c>
      <c r="D13" t="s">
        <v>12</v>
      </c>
      <c r="E13" t="s">
        <v>16</v>
      </c>
    </row>
    <row r="14" spans="2:5" x14ac:dyDescent="0.25">
      <c r="B14" t="s">
        <v>10</v>
      </c>
      <c r="C14" s="2">
        <f>+C13*C11</f>
        <v>6.1197236465757916</v>
      </c>
      <c r="D14" t="s">
        <v>12</v>
      </c>
      <c r="E14" t="s">
        <v>16</v>
      </c>
    </row>
    <row r="15" spans="2:5" x14ac:dyDescent="0.25">
      <c r="B15" t="s">
        <v>18</v>
      </c>
      <c r="C15" s="2">
        <f>+C14+C12</f>
        <v>6.6197236465757916</v>
      </c>
      <c r="D15" t="s">
        <v>12</v>
      </c>
      <c r="E15" t="s">
        <v>16</v>
      </c>
    </row>
    <row r="16" spans="2:5" x14ac:dyDescent="0.25">
      <c r="B16" t="s">
        <v>19</v>
      </c>
      <c r="C16" s="2">
        <f>+C13</f>
        <v>5.0997697054798268</v>
      </c>
      <c r="D16" t="s">
        <v>21</v>
      </c>
      <c r="E16" t="s">
        <v>16</v>
      </c>
    </row>
    <row r="17" spans="2:5" x14ac:dyDescent="0.25">
      <c r="B17" t="s">
        <v>20</v>
      </c>
      <c r="C17" s="3">
        <f>+(3.1415/4)*(C16^2)*C15</f>
        <v>135.21287947127664</v>
      </c>
      <c r="D17" t="s">
        <v>21</v>
      </c>
      <c r="E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BBA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Steyn, Jaco</dc:creator>
  <cp:lastModifiedBy>Steyn, Jaco</cp:lastModifiedBy>
  <dcterms:created xsi:type="dcterms:W3CDTF">2026-03-23T13:48:41Z</dcterms:created>
  <dcterms:modified xsi:type="dcterms:W3CDTF">2026-03-23T13:57:05Z</dcterms:modified>
</cp:coreProperties>
</file>