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ainc-my.sharepoint.com/personal/stej7224_bba_ca/Documents/Coding/Sizing Tools/Base Excel Tools/"/>
    </mc:Choice>
  </mc:AlternateContent>
  <xr:revisionPtr revIDLastSave="79" documentId="8_{57700CE9-AF19-4991-B1F0-9D2B40AB37E1}" xr6:coauthVersionLast="47" xr6:coauthVersionMax="47" xr10:uidLastSave="{35B823CA-995D-499E-819E-63D996E28DD1}"/>
  <bookViews>
    <workbookView xWindow="28680" yWindow="-120" windowWidth="29040" windowHeight="15720" xr2:uid="{D20B9CCE-EFCF-46C7-9712-8825FB81A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20" i="1"/>
  <c r="E23" i="1" s="1"/>
  <c r="E12" i="1"/>
  <c r="E11" i="1"/>
  <c r="E13" i="1" s="1"/>
  <c r="E10" i="1"/>
  <c r="E22" i="1" l="1"/>
  <c r="E24" i="1" s="1"/>
</calcChain>
</file>

<file path=xl/sharedStrings.xml><?xml version="1.0" encoding="utf-8"?>
<sst xmlns="http://schemas.openxmlformats.org/spreadsheetml/2006/main" count="58" uniqueCount="21">
  <si>
    <t>Title:</t>
  </si>
  <si>
    <t>units</t>
  </si>
  <si>
    <t>m3/h</t>
  </si>
  <si>
    <t>type</t>
  </si>
  <si>
    <t>input</t>
  </si>
  <si>
    <t>calculation</t>
  </si>
  <si>
    <t>value</t>
  </si>
  <si>
    <t>Solids Mass Rate</t>
  </si>
  <si>
    <t>Solids S.G.</t>
  </si>
  <si>
    <t>Aqueous Mass Rate</t>
  </si>
  <si>
    <t>t/m3</t>
  </si>
  <si>
    <t>t/h</t>
  </si>
  <si>
    <t>Aqueous S.G.</t>
  </si>
  <si>
    <t>Total Mass Rate</t>
  </si>
  <si>
    <t>Total Volume Rate</t>
  </si>
  <si>
    <t>Slurry Solids Mass Fraction</t>
  </si>
  <si>
    <t>-</t>
  </si>
  <si>
    <t>Slurry S.G.</t>
  </si>
  <si>
    <t>Stream Properties Calculation</t>
  </si>
  <si>
    <t>Solids and Aqueous Basis</t>
  </si>
  <si>
    <t>Solids Fraction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</si>
</sst>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CD56-FE20-4C79-9D2E-5F259FE67733}">
  <dimension ref="B2:E24"/>
  <sheetViews>
    <sheetView tabSelected="1" workbookViewId="0">
      <selection activeCell="E19" sqref="E19"/>
    </sheetView>
  </sheetViews>
  <sheetFormatPr defaultRowHeight="15" x14ac:dyDescent="0.25"/>
  <cols>
    <col min="2" max="2" width="26.7109375" bestFit="1" customWidth="1"/>
    <col min="3" max="3" width="26.42578125" bestFit="1" customWidth="1"/>
    <col min="5" max="5" width="7.42578125" customWidth="1"/>
  </cols>
  <sheetData>
    <row r="2" spans="2:5" x14ac:dyDescent="0.25">
      <c r="B2" t="s">
        <v>0</v>
      </c>
      <c r="C2" s="1" t="s">
        <v>18</v>
      </c>
    </row>
    <row r="4" spans="2:5" x14ac:dyDescent="0.25">
      <c r="B4" s="1" t="s">
        <v>19</v>
      </c>
    </row>
    <row r="5" spans="2:5" x14ac:dyDescent="0.25">
      <c r="C5" s="1" t="s">
        <v>3</v>
      </c>
      <c r="D5" s="1" t="s">
        <v>1</v>
      </c>
      <c r="E5" s="1" t="s">
        <v>6</v>
      </c>
    </row>
    <row r="6" spans="2:5" x14ac:dyDescent="0.25">
      <c r="B6" t="s">
        <v>7</v>
      </c>
      <c r="C6" t="s">
        <v>4</v>
      </c>
      <c r="D6" t="s">
        <v>11</v>
      </c>
      <c r="E6" s="4">
        <v>60</v>
      </c>
    </row>
    <row r="7" spans="2:5" x14ac:dyDescent="0.25">
      <c r="B7" t="s">
        <v>8</v>
      </c>
      <c r="C7" t="s">
        <v>4</v>
      </c>
      <c r="D7" t="s">
        <v>10</v>
      </c>
      <c r="E7" s="5">
        <v>3</v>
      </c>
    </row>
    <row r="8" spans="2:5" x14ac:dyDescent="0.25">
      <c r="B8" t="s">
        <v>9</v>
      </c>
      <c r="C8" t="s">
        <v>4</v>
      </c>
      <c r="D8" t="s">
        <v>11</v>
      </c>
      <c r="E8" s="4">
        <v>100</v>
      </c>
    </row>
    <row r="9" spans="2:5" x14ac:dyDescent="0.25">
      <c r="B9" t="s">
        <v>12</v>
      </c>
      <c r="C9" t="s">
        <v>4</v>
      </c>
      <c r="D9" t="s">
        <v>10</v>
      </c>
      <c r="E9" s="5">
        <v>1</v>
      </c>
    </row>
    <row r="10" spans="2:5" x14ac:dyDescent="0.25">
      <c r="B10" t="s">
        <v>15</v>
      </c>
      <c r="C10" t="s">
        <v>5</v>
      </c>
      <c r="D10" t="s">
        <v>16</v>
      </c>
      <c r="E10" s="2">
        <f>+E6/(E6+E8)</f>
        <v>0.375</v>
      </c>
    </row>
    <row r="11" spans="2:5" x14ac:dyDescent="0.25">
      <c r="B11" t="s">
        <v>13</v>
      </c>
      <c r="C11" t="s">
        <v>5</v>
      </c>
      <c r="D11" t="s">
        <v>11</v>
      </c>
      <c r="E11">
        <f>+E6+E8</f>
        <v>160</v>
      </c>
    </row>
    <row r="12" spans="2:5" x14ac:dyDescent="0.25">
      <c r="B12" t="s">
        <v>14</v>
      </c>
      <c r="C12" t="s">
        <v>5</v>
      </c>
      <c r="D12" t="s">
        <v>2</v>
      </c>
      <c r="E12">
        <f>+E6/E7+E8/E9</f>
        <v>120</v>
      </c>
    </row>
    <row r="13" spans="2:5" x14ac:dyDescent="0.25">
      <c r="B13" t="s">
        <v>17</v>
      </c>
      <c r="C13" t="s">
        <v>5</v>
      </c>
      <c r="D13" t="s">
        <v>10</v>
      </c>
      <c r="E13" s="3">
        <f>+E11/E12</f>
        <v>1.3333333333333333</v>
      </c>
    </row>
    <row r="15" spans="2:5" x14ac:dyDescent="0.25">
      <c r="B15" s="1" t="s">
        <v>20</v>
      </c>
    </row>
    <row r="16" spans="2:5" x14ac:dyDescent="0.25">
      <c r="C16" s="1" t="s">
        <v>3</v>
      </c>
      <c r="D16" s="1" t="s">
        <v>1</v>
      </c>
      <c r="E16" s="1" t="s">
        <v>6</v>
      </c>
    </row>
    <row r="17" spans="2:5" x14ac:dyDescent="0.25">
      <c r="B17" t="s">
        <v>7</v>
      </c>
      <c r="C17" t="s">
        <v>4</v>
      </c>
      <c r="D17" t="s">
        <v>11</v>
      </c>
      <c r="E17" s="4">
        <f>133*0.6*0.75</f>
        <v>59.849999999999994</v>
      </c>
    </row>
    <row r="18" spans="2:5" x14ac:dyDescent="0.25">
      <c r="B18" t="s">
        <v>8</v>
      </c>
      <c r="C18" t="s">
        <v>4</v>
      </c>
      <c r="D18" t="s">
        <v>10</v>
      </c>
      <c r="E18" s="5">
        <v>3</v>
      </c>
    </row>
    <row r="19" spans="2:5" x14ac:dyDescent="0.25">
      <c r="B19" t="s">
        <v>15</v>
      </c>
      <c r="C19" t="s">
        <v>5</v>
      </c>
      <c r="D19" t="s">
        <v>16</v>
      </c>
      <c r="E19" s="5">
        <v>0.35</v>
      </c>
    </row>
    <row r="20" spans="2:5" x14ac:dyDescent="0.25">
      <c r="B20" t="s">
        <v>9</v>
      </c>
      <c r="C20" t="s">
        <v>4</v>
      </c>
      <c r="D20" t="s">
        <v>11</v>
      </c>
      <c r="E20">
        <f>+E17/E19-E17</f>
        <v>111.15</v>
      </c>
    </row>
    <row r="21" spans="2:5" x14ac:dyDescent="0.25">
      <c r="B21" t="s">
        <v>12</v>
      </c>
      <c r="C21" t="s">
        <v>4</v>
      </c>
      <c r="D21" t="s">
        <v>10</v>
      </c>
      <c r="E21" s="5">
        <v>1</v>
      </c>
    </row>
    <row r="22" spans="2:5" x14ac:dyDescent="0.25">
      <c r="B22" t="s">
        <v>13</v>
      </c>
      <c r="C22" t="s">
        <v>5</v>
      </c>
      <c r="D22" t="s">
        <v>11</v>
      </c>
      <c r="E22">
        <f>+E17+E20</f>
        <v>171</v>
      </c>
    </row>
    <row r="23" spans="2:5" x14ac:dyDescent="0.25">
      <c r="B23" t="s">
        <v>14</v>
      </c>
      <c r="C23" t="s">
        <v>5</v>
      </c>
      <c r="D23" t="s">
        <v>2</v>
      </c>
      <c r="E23">
        <f>+E17/E18+E20/E21</f>
        <v>131.1</v>
      </c>
    </row>
    <row r="24" spans="2:5" x14ac:dyDescent="0.25">
      <c r="B24" t="s">
        <v>17</v>
      </c>
      <c r="C24" t="s">
        <v>5</v>
      </c>
      <c r="D24" t="s">
        <v>10</v>
      </c>
      <c r="E24" s="3">
        <f>+E22/E23</f>
        <v>1.3043478260869565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BBA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Steyn, Jaco</dc:creator>
  <cp:lastModifiedBy>Steyn, Jaco</cp:lastModifiedBy>
  <dcterms:created xsi:type="dcterms:W3CDTF">2026-03-23T13:48:41Z</dcterms:created>
  <dcterms:modified xsi:type="dcterms:W3CDTF">2026-03-23T20:16:06Z</dcterms:modified>
</cp:coreProperties>
</file>